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umentos\Docencia\DUOC\2025_2\Capstone\Alumnos\"/>
    </mc:Choice>
  </mc:AlternateContent>
  <xr:revisionPtr revIDLastSave="0" documentId="13_ncr:1_{008B1C26-A502-45A1-8F47-45C4BEC58A7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<sst xmlns="http://schemas.openxmlformats.org/spreadsheetml/2006/main" count="169" uniqueCount="98">
  <si>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</si>
  <si>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</si>
  <si>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</si>
  <si>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</si>
  <si>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</si>
  <si>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</si>
  <si>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</si>
  <si>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</si>
  <si>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</si>
  <si>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</si>
  <si>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</si>
  <si>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</si>
  <si>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</si>
  <si>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</si>
  <si>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</si>
  <si>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</si>
  <si>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</si>
  <si>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</si>
  <si>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</si>
  <si>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</si>
  <si>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</si>
  <si>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</si>
  <si>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</si>
  <si>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</si>
  <si>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</si>
  <si>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</si>
  <si>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</si>
  <si>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</si>
  <si>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</si>
  <si>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</si>
  <si>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</si>
  <si>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</si>
  <si>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</si>
  <si>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</si>
  <si>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</si>
  <si>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</si>
  <si>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</si>
  <si>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</si>
  <si>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</si>
  <si>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</si>
  <si>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</si>
  <si>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</si>
  <si>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</si>
  <si>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</si>
  <si>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</si>
  <si>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</si>
  <si>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</si>
  <si>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</si>
  <si>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</si>
  <si>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</si>
  <si>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</si>
  <si>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</si>
  <si>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</si>
  <si>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</si>
  <si>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</si>
  <si>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</si>
  <si>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</si>
  <si>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</si>
  <si>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</si>
  <si>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</si>
  <si>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</si>
  <si>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</si>
  <si>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</si>
  <si>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</si>
  <si>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</si>
  <si>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</si>
  <si>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</si>
  <si>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</si>
  <si>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</si>
  <si>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</si>
  <si>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</si>
  <si>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</si>
  <si>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</si>
  <si>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</si>
  <si>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</si>
  <si>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</si>
  <si>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</si>
  <si>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</si>
  <si>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</si>
  <si>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</si>
  <si>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</si>
  <si>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</si>
  <si>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</si>
  <si>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</si>
  <si>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</si>
  <si>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</si>
  <si>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</si>
  <si>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</si>
  <si>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</si>
  <si>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</si>
  <si>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</si>
  <si>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</si>
  <si>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</si>
  <si>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</si>
  <si>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</si>
  <si>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</si>
  <si>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CAMPOS PINO FRANCISCO JAVIER</t>
  </si>
  <si>
    <t>MELLA ISLA SEBASTIAN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</si>
</sst>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45" sqref="G4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6.4</v>
      </c>
      <c r="D4" s="6">
        <f>$C$35</f>
        <v>6</v>
      </c>
      <c r="E4" s="43">
        <f>C4*C$2+D4*D$2</f>
        <v>6.3000000000000007</v>
      </c>
      <c r="G4" s="1"/>
    </row>
    <row r="5" spans="1:11" ht="14.4" x14ac:dyDescent="0.3">
      <c r="A5" s="5">
        <v>2</v>
      </c>
      <c r="B5" s="32" t="s">
        <v>97</v>
      </c>
      <c r="C5" s="6">
        <f>EVALUACION1!$C$24</f>
        <v>6.4</v>
      </c>
      <c r="D5" s="6">
        <f>C47</f>
        <v>6</v>
      </c>
      <c r="E5" s="43">
        <f t="shared" ref="E5" si="0">C5*C$2+D5*D$2</f>
        <v>6.3000000000000007</v>
      </c>
      <c r="G5" s="1"/>
    </row>
    <row r="6" spans="1:11" ht="14.4" x14ac:dyDescent="0.3">
      <c r="A6" s="5">
        <v>3</v>
      </c>
      <c r="B6" s="32"/>
      <c r="C6" s="6"/>
      <c r="D6" s="6"/>
      <c r="E6" s="43"/>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95</v>
      </c>
      <c r="G18" s="16">
        <f t="shared" ref="G18" si="18">IF(F18="X",60*0.1,"")</f>
        <v>6</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95</v>
      </c>
      <c r="E20" s="16">
        <f>IF(D20="X",100*0.05,"")</f>
        <v>5</v>
      </c>
      <c r="F20" s="16" t="str">
        <f t="shared" ref="F20:F21" si="22">IF($C20=L,"X","")</f>
        <v/>
      </c>
      <c r="G20" s="16" t="str">
        <f t="shared" si="9"/>
        <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t="str">
        <f t="shared" si="22"/>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5">
      <c r="A24" s="50"/>
      <c r="B24" s="36" t="s">
        <v>12</v>
      </c>
      <c r="C24" s="20">
        <f>VLOOKUP(C23,ESCALA_IEP!A2:B142,2,FALSE)</f>
        <v>6.4</v>
      </c>
    </row>
    <row r="25" spans="1:11" ht="15.75" customHeight="1" x14ac:dyDescent="0.3"/>
    <row r="26" spans="1:11" ht="15.75" customHeight="1" x14ac:dyDescent="0.3"/>
    <row r="27" spans="1:11" ht="15.75" customHeight="1" x14ac:dyDescent="0.3">
      <c r="A27" s="61" t="s">
        <v>13</v>
      </c>
      <c r="B27" s="49" t="s">
        <v>14</v>
      </c>
      <c r="C27" s="51" t="str">
        <f>$B$4</f>
        <v>CAMPOS PINO FRANCISCO JAVIER</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2"/>
      <c r="B33" s="35" t="str">
        <f>RUBRICA!A17</f>
        <v>13. Colaboración y trabajo en equipo *</v>
      </c>
      <c r="C33" s="33" t="s">
        <v>7</v>
      </c>
      <c r="D33" s="16"/>
      <c r="E33" s="16" t="str">
        <f>IF(D33="X",100*0.1,"")</f>
        <v/>
      </c>
      <c r="F33" s="16" t="s">
        <v>95</v>
      </c>
      <c r="G33" s="16">
        <f>IF(F33="X",60*0.1,"")</f>
        <v>6</v>
      </c>
      <c r="H33" s="16" t="str">
        <f>IF($C33=ML,"X","")</f>
        <v/>
      </c>
      <c r="I33" s="16" t="str">
        <f>IF(H33="X",30*0.1,"")</f>
        <v/>
      </c>
      <c r="J33" s="16" t="str">
        <f>IF($C33=NL,"X","")</f>
        <v/>
      </c>
      <c r="K33" s="16" t="str">
        <f>IF($J33="X",0,"")</f>
        <v/>
      </c>
    </row>
    <row r="34" spans="1:11" ht="15.75" customHeight="1" x14ac:dyDescent="0.35">
      <c r="A34" s="62"/>
      <c r="B34" s="21" t="s">
        <v>17</v>
      </c>
      <c r="C34" s="18">
        <f>E34+G34+I34+K34</f>
        <v>26</v>
      </c>
      <c r="D34" s="19"/>
      <c r="E34" s="19">
        <f>SUM(E31:E33)</f>
        <v>20</v>
      </c>
      <c r="F34" s="19"/>
      <c r="G34" s="19">
        <f t="shared" ref="G34:K34" si="28">SUM(G31:G33)</f>
        <v>6</v>
      </c>
      <c r="H34" s="19"/>
      <c r="I34" s="19">
        <f t="shared" si="28"/>
        <v>0</v>
      </c>
      <c r="J34" s="19"/>
      <c r="K34" s="19">
        <f t="shared" si="28"/>
        <v>0</v>
      </c>
    </row>
    <row r="35" spans="1:11" ht="15.75" customHeight="1" x14ac:dyDescent="0.35">
      <c r="A35" s="50"/>
      <c r="B35" s="17" t="s">
        <v>12</v>
      </c>
      <c r="C35" s="20">
        <f>VLOOKUP(C34,ESCALA_TRAB_EQUIP!A2:B62,2,FALSE)</f>
        <v>6</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MELLA ISLA SEBASTIAN</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 si="29">IF($C43=CL,"X","")</f>
        <v>X</v>
      </c>
      <c r="E43" s="16">
        <f>IF(D43="X",100*0.1,"")</f>
        <v>10</v>
      </c>
      <c r="F43" s="16" t="str">
        <f t="shared" ref="F43"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2"/>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1"/>
        <v/>
      </c>
      <c r="I44" s="16" t="str">
        <f>IF(H44="X",30*0.1,"")</f>
        <v/>
      </c>
      <c r="J44" s="16" t="str">
        <f t="shared" si="32"/>
        <v/>
      </c>
      <c r="K44" s="16" t="str">
        <f t="shared" si="33"/>
        <v/>
      </c>
    </row>
    <row r="45" spans="1:11" ht="15.75" customHeight="1" x14ac:dyDescent="0.3">
      <c r="A45" s="62"/>
      <c r="B45" s="35" t="str">
        <f>RUBRICA!A17</f>
        <v>13. Colaboración y trabajo en equipo *</v>
      </c>
      <c r="C45" s="33" t="s">
        <v>7</v>
      </c>
      <c r="D45" s="16"/>
      <c r="E45" s="16" t="str">
        <f>IF(D45="X",100*0.1,"")</f>
        <v/>
      </c>
      <c r="F45" s="16" t="s">
        <v>95</v>
      </c>
      <c r="G45" s="16">
        <f>IF(F45="X",60*0.1,"")</f>
        <v>6</v>
      </c>
      <c r="H45" s="16" t="str">
        <f>IF($C45=ML,"X","")</f>
        <v/>
      </c>
      <c r="I45" s="16" t="str">
        <f>IF(H45="X",30*0.1,"")</f>
        <v/>
      </c>
      <c r="J45" s="16" t="str">
        <f>IF($C45=NL,"X","")</f>
        <v/>
      </c>
      <c r="K45" s="16" t="str">
        <f>IF($J45="X",0,"")</f>
        <v/>
      </c>
    </row>
    <row r="46" spans="1:11" ht="15.75" customHeight="1" x14ac:dyDescent="0.35">
      <c r="A46" s="62"/>
      <c r="B46" s="21" t="s">
        <v>17</v>
      </c>
      <c r="C46" s="18">
        <f>E46+G46+I46+K46</f>
        <v>26</v>
      </c>
      <c r="D46" s="19"/>
      <c r="E46" s="19">
        <f>SUM(E43:E45)</f>
        <v>20</v>
      </c>
      <c r="F46" s="19"/>
      <c r="G46" s="19">
        <f t="shared" ref="G46" si="34">SUM(G43:G45)</f>
        <v>6</v>
      </c>
      <c r="H46" s="19"/>
      <c r="I46" s="19">
        <f t="shared" ref="I46" si="35">SUM(I43:I45)</f>
        <v>0</v>
      </c>
      <c r="J46" s="19"/>
      <c r="K46" s="19">
        <f t="shared" ref="K46" si="36">SUM(K43:K45)</f>
        <v>0</v>
      </c>
    </row>
    <row r="47" spans="1:11" ht="15.75" customHeight="1" x14ac:dyDescent="0.35">
      <c r="A47" s="50"/>
      <c r="B47" s="17" t="s">
        <v>12</v>
      </c>
      <c r="C47" s="20">
        <f>VLOOKUP(C46,ESCALA_TRAB_EQUIP!A2:B62,2,FALSE)</f>
        <v>6</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c r="E54" s="16" t="str">
        <f>IF(D54="X",100*0.1,"")</f>
        <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3">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7"/>
        <v/>
      </c>
      <c r="G55" s="16" t="str">
        <f>IF(F55="X",60*0.1,"")</f>
        <v/>
      </c>
      <c r="H55" s="16" t="str">
        <f t="shared" si="38"/>
        <v/>
      </c>
      <c r="I55" s="16" t="str">
        <f>IF(H55="X",30*0.1,"")</f>
        <v/>
      </c>
      <c r="J55" s="16" t="str">
        <f t="shared" si="39"/>
        <v/>
      </c>
      <c r="K55" s="16" t="str">
        <f t="shared" si="40"/>
        <v/>
      </c>
    </row>
    <row r="56" spans="1:11" ht="15.75" customHeight="1" x14ac:dyDescent="0.3">
      <c r="A56" s="62"/>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0</v>
      </c>
      <c r="D57" s="19">
        <f>COUNTIF(D55:D56,"X")</f>
        <v>0</v>
      </c>
      <c r="E57" s="19">
        <f>SUM(E54:E56)</f>
        <v>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2025-09-23T15:02:07Z</dcterms:modified>
  <cp:category/>
  <cp:contentStatus/>
</cp:coreProperties>
</file>